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anso\OneDrive\Documents\"/>
    </mc:Choice>
  </mc:AlternateContent>
  <xr:revisionPtr revIDLastSave="0" documentId="13_ncr:1_{D4C8B72A-F5A6-485E-8205-5698AEE918FE}" xr6:coauthVersionLast="36" xr6:coauthVersionMax="36" xr10:uidLastSave="{00000000-0000-0000-0000-000000000000}"/>
  <bookViews>
    <workbookView xWindow="0" yWindow="0" windowWidth="23040" windowHeight="9684"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'Working Sheet'!$A$1:$N$1001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3" i="3" l="1"/>
  <c r="A1" i="2" s="1"/>
  <c r="G6" i="3"/>
  <c r="G4" i="3"/>
  <c r="G5" i="3"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<sst xmlns="http://schemas.openxmlformats.org/spreadsheetml/2006/main" count="16279" uniqueCount="56">
  <si>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</si>
  <si>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</si>
  <si>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</si>
  <si>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</si>
  <si>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</si>
  <si>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</si>
  <si>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</si>
  <si>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</si>
  <si>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</si>
  <si>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</si>
  <si>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</si>
  <si>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</si>
  <si>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</si>
  <si>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</si>
  <si>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</si>
  <si>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</si>
  <si>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</si>
  <si>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</si>
  <si>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</si>
  <si>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</si>
  <si>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</si>
  <si>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</si>
  <si>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</si>
  <si>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</si>
  <si>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</si>
  <si>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</si>
  <si>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</si>
  <si>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</si>
  <si>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</si>
  <si>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</si>
  <si>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</si>
  <si>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</si>
  <si>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</si>
  <si>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</si>
  <si>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</si>
  <si>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</si>
  <si>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</si>
  <si>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</si>
  <si>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</si>
  <si>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</si>
  <si>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</si>
  <si>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</si>
  <si>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</si>
  <si>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</si>
  <si>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</si>
  <si>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</si>
  <si>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</si>
  <si>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Count of ID</t>
  </si>
  <si>
    <t>Total Customers</t>
  </si>
  <si>
    <t>Bought a Bike</t>
  </si>
  <si>
    <t>Purchase Rate</t>
  </si>
  <si>
    <t>Avg Income (All)</t>
  </si>
  <si>
    <t>Middle Age 31-54</t>
  </si>
  <si>
    <t>Old Age 55+</t>
  </si>
  <si>
    <t>Adolescent 0-30</t>
  </si>
  <si>
    <t>Data as of 31-Jul-2026 · Source: bike_buyers (n=1,000)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</si>
</sst>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quot;$&quot;#,##0.00"/>
    <numFmt numFmtId="165" formatCode="&quot;$&quot;#,##0"/>
    <numFmt numFmtId="166" formatCode="_(* #,##0_);_(* \(#,##0\);_(* &quot;-&quot;??_);_(@_)"/>
    <numFmt numFmtId="167"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0"/>
      <color theme="1"/>
      <name val="Calibri"/>
      <family val="2"/>
      <scheme val="minor"/>
    </font>
    <font>
      <b/>
      <sz val="42"/>
      <color theme="0"/>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44" fontId="0" fillId="0" borderId="0" xfId="42" applyFont="1"/>
    <xf numFmtId="0" fontId="19" fillId="0" borderId="0" xfId="0" applyFont="1"/>
    <xf numFmtId="167" fontId="19" fillId="0" borderId="0" xfId="43" applyNumberFormat="1" applyFont="1"/>
    <xf numFmtId="165" fontId="19" fillId="0" borderId="0" xfId="0" applyNumberFormat="1" applyFont="1"/>
    <xf numFmtId="37" fontId="19" fillId="0" borderId="0" xfId="0" applyNumberFormat="1" applyFont="1"/>
    <xf numFmtId="0" fontId="0" fillId="33" borderId="0" xfId="0" applyFill="1"/>
    <xf numFmtId="0" fontId="20" fillId="33" borderId="0" xfId="0" applyFont="1" applyFill="1" applyAlignment="1">
      <alignment horizontal="center" vertical="center"/>
    </xf>
    <xf numFmtId="0" fontId="21" fillId="33"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22">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colors>
    <mruColors>
      <color rgb="FF2E4E7E"/>
      <color rgb="FFFAFAFC"/>
      <color rgb="FF6B6B6B"/>
      <color rgb="FF666666"/>
      <color rgb="FFD9D9D9"/>
      <color rgb="FFF5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Avg</a:t>
            </a:r>
            <a:r>
              <a:rPr lang="en-IN" b="1" baseline="0"/>
              <a:t> Income Per Purchase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C1AB-43FE-A5D0-40ACD16C239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C1AB-43FE-A5D0-40ACD16C239F}"/>
            </c:ext>
          </c:extLst>
        </c:ser>
        <c:dLbls>
          <c:showLegendKey val="0"/>
          <c:showVal val="0"/>
          <c:showCatName val="0"/>
          <c:showSerName val="0"/>
          <c:showPercent val="0"/>
          <c:showBubbleSize val="0"/>
        </c:dLbls>
        <c:gapWidth val="219"/>
        <c:axId val="294918832"/>
        <c:axId val="289978384"/>
      </c:barChart>
      <c:catAx>
        <c:axId val="294918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78384"/>
        <c:crosses val="autoZero"/>
        <c:auto val="1"/>
        <c:lblAlgn val="ctr"/>
        <c:lblOffset val="100"/>
        <c:noMultiLvlLbl val="0"/>
      </c:catAx>
      <c:valAx>
        <c:axId val="28997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1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24A-4744-836B-F1F2C3C1EA1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24A-4744-836B-F1F2C3C1EA1B}"/>
            </c:ext>
          </c:extLst>
        </c:ser>
        <c:dLbls>
          <c:showLegendKey val="0"/>
          <c:showVal val="0"/>
          <c:showCatName val="0"/>
          <c:showSerName val="0"/>
          <c:showPercent val="0"/>
          <c:showBubbleSize val="0"/>
        </c:dLbls>
        <c:marker val="1"/>
        <c:smooth val="0"/>
        <c:axId val="2132314800"/>
        <c:axId val="289969648"/>
      </c:lineChart>
      <c:catAx>
        <c:axId val="21323148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9969648"/>
        <c:crosses val="autoZero"/>
        <c:auto val="1"/>
        <c:lblAlgn val="ctr"/>
        <c:lblOffset val="100"/>
        <c:noMultiLvlLbl val="0"/>
      </c:catAx>
      <c:valAx>
        <c:axId val="2899696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3231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Table'!$B$41:$B$42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Table'!$A$43:$A$46</c:f>
              <c:strCache>
                <c:ptCount val="3"/>
                <c:pt idx="0">
                  <c:v>Middle Age 31-54</c:v>
                </c:pt>
                <c:pt idx="1">
                  <c:v>Old Age 55+</c:v>
                </c:pt>
                <c:pt idx="2">
                  <c:v>Adolescent 0-30</c:v>
                </c:pt>
              </c:strCache>
            </c:strRef>
          </c:cat>
          <c:val>
            <c:numRef>
              <c:f>'Pivot Table'!$B$43:$B$46</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F08D-4061-9C7C-AA0E89BFEBB0}"/>
            </c:ext>
          </c:extLst>
        </c:ser>
        <c:ser>
          <c:idx val="1"/>
          <c:order val="1"/>
          <c:tx>
            <c:strRef>
              <c:f>'Pivot Table'!$C$41:$C$42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Table'!$A$43:$A$46</c:f>
              <c:strCache>
                <c:ptCount val="3"/>
                <c:pt idx="0">
                  <c:v>Middle Age 31-54</c:v>
                </c:pt>
                <c:pt idx="1">
                  <c:v>Old Age 55+</c:v>
                </c:pt>
                <c:pt idx="2">
                  <c:v>Adolescent 0-30</c:v>
                </c:pt>
              </c:strCache>
            </c:strRef>
          </c:cat>
          <c:val>
            <c:numRef>
              <c:f>'Pivot Table'!$C$43:$C$46</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F08D-4061-9C7C-AA0E89BFEBB0}"/>
            </c:ext>
          </c:extLst>
        </c:ser>
        <c:dLbls>
          <c:showLegendKey val="0"/>
          <c:showVal val="0"/>
          <c:showCatName val="0"/>
          <c:showSerName val="0"/>
          <c:showPercent val="0"/>
          <c:showBubbleSize val="0"/>
        </c:dLbls>
        <c:marker val="1"/>
        <c:smooth val="0"/>
        <c:axId val="2135341168"/>
        <c:axId val="289979216"/>
      </c:lineChart>
      <c:catAx>
        <c:axId val="213534116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b="1"/>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79216"/>
        <c:crosses val="autoZero"/>
        <c:auto val="1"/>
        <c:lblAlgn val="ctr"/>
        <c:lblOffset val="100"/>
        <c:noMultiLvlLbl val="0"/>
      </c:catAx>
      <c:valAx>
        <c:axId val="28997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34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F09B-4205-889C-D406E927D1F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09B-4205-889C-D406E927D1F7}"/>
            </c:ext>
          </c:extLst>
        </c:ser>
        <c:dLbls>
          <c:showLegendKey val="0"/>
          <c:showVal val="0"/>
          <c:showCatName val="0"/>
          <c:showSerName val="0"/>
          <c:showPercent val="0"/>
          <c:showBubbleSize val="0"/>
        </c:dLbls>
        <c:gapWidth val="219"/>
        <c:overlap val="-27"/>
        <c:axId val="294918832"/>
        <c:axId val="289978384"/>
      </c:barChart>
      <c:catAx>
        <c:axId val="294918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78384"/>
        <c:crosses val="autoZero"/>
        <c:auto val="1"/>
        <c:lblAlgn val="ctr"/>
        <c:lblOffset val="100"/>
        <c:noMultiLvlLbl val="0"/>
      </c:catAx>
      <c:valAx>
        <c:axId val="28997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18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059-4F22-B1DA-306FD9ECAA1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059-4F22-B1DA-306FD9ECAA1A}"/>
            </c:ext>
          </c:extLst>
        </c:ser>
        <c:dLbls>
          <c:showLegendKey val="0"/>
          <c:showVal val="0"/>
          <c:showCatName val="0"/>
          <c:showSerName val="0"/>
          <c:showPercent val="0"/>
          <c:showBubbleSize val="0"/>
        </c:dLbls>
        <c:smooth val="0"/>
        <c:axId val="2132314800"/>
        <c:axId val="289969648"/>
      </c:lineChart>
      <c:catAx>
        <c:axId val="2132314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69648"/>
        <c:crosses val="autoZero"/>
        <c:auto val="1"/>
        <c:lblAlgn val="ctr"/>
        <c:lblOffset val="100"/>
        <c:noMultiLvlLbl val="0"/>
      </c:catAx>
      <c:valAx>
        <c:axId val="28996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31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Middle Age 31-54</c:v>
                </c:pt>
                <c:pt idx="1">
                  <c:v>Old Age 55+</c:v>
                </c:pt>
                <c:pt idx="2">
                  <c:v>Adolescent 0-30</c:v>
                </c:pt>
              </c:strCache>
            </c:strRef>
          </c:cat>
          <c:val>
            <c:numRef>
              <c:f>'Pivot Table'!$B$43:$B$46</c:f>
              <c:numCache>
                <c:formatCode>General</c:formatCode>
                <c:ptCount val="3"/>
                <c:pt idx="0">
                  <c:v>331</c:v>
                </c:pt>
                <c:pt idx="1">
                  <c:v>117</c:v>
                </c:pt>
                <c:pt idx="2">
                  <c:v>71</c:v>
                </c:pt>
              </c:numCache>
            </c:numRef>
          </c:val>
          <c:smooth val="0"/>
          <c:extLst>
            <c:ext xmlns:c16="http://schemas.microsoft.com/office/drawing/2014/chart" uri="{C3380CC4-5D6E-409C-BE32-E72D297353CC}">
              <c16:uniqueId val="{00000000-352A-4FEF-9317-B40333CAE10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Middle Age 31-54</c:v>
                </c:pt>
                <c:pt idx="1">
                  <c:v>Old Age 55+</c:v>
                </c:pt>
                <c:pt idx="2">
                  <c:v>Adolescent 0-30</c:v>
                </c:pt>
              </c:strCache>
            </c:strRef>
          </c:cat>
          <c:val>
            <c:numRef>
              <c:f>'Pivot Table'!$C$43:$C$46</c:f>
              <c:numCache>
                <c:formatCode>General</c:formatCode>
                <c:ptCount val="3"/>
                <c:pt idx="0">
                  <c:v>388</c:v>
                </c:pt>
                <c:pt idx="1">
                  <c:v>54</c:v>
                </c:pt>
                <c:pt idx="2">
                  <c:v>39</c:v>
                </c:pt>
              </c:numCache>
            </c:numRef>
          </c:val>
          <c:smooth val="0"/>
          <c:extLst>
            <c:ext xmlns:c16="http://schemas.microsoft.com/office/drawing/2014/chart" uri="{C3380CC4-5D6E-409C-BE32-E72D297353CC}">
              <c16:uniqueId val="{00000001-352A-4FEF-9317-B40333CAE103}"/>
            </c:ext>
          </c:extLst>
        </c:ser>
        <c:dLbls>
          <c:showLegendKey val="0"/>
          <c:showVal val="0"/>
          <c:showCatName val="0"/>
          <c:showSerName val="0"/>
          <c:showPercent val="0"/>
          <c:showBubbleSize val="0"/>
        </c:dLbls>
        <c:marker val="1"/>
        <c:smooth val="0"/>
        <c:axId val="2135341168"/>
        <c:axId val="289979216"/>
      </c:lineChart>
      <c:catAx>
        <c:axId val="213534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979216"/>
        <c:crosses val="autoZero"/>
        <c:auto val="1"/>
        <c:lblAlgn val="ctr"/>
        <c:lblOffset val="100"/>
        <c:noMultiLvlLbl val="0"/>
      </c:catAx>
      <c:valAx>
        <c:axId val="289979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34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483870</xdr:colOff>
      <xdr:row>14</xdr:row>
      <xdr:rowOff>54293</xdr:rowOff>
    </xdr:from>
    <xdr:to>
      <xdr:col>8</xdr:col>
      <xdr:colOff>535781</xdr:colOff>
      <xdr:row>29</xdr:row>
      <xdr:rowOff>58103</xdr:rowOff>
    </xdr:to>
    <xdr:graphicFrame macro="">
      <xdr:nvGraphicFramePr>
        <xdr:cNvPr id="2" name="Chart 1">
          <a:extLst>
            <a:ext uri="{FF2B5EF4-FFF2-40B4-BE49-F238E27FC236}">
              <a16:creationId xmlns:a16="http://schemas.microsoft.com/office/drawing/2014/main" id="{97DD43E9-8FE7-4048-8FD3-23E1DDA0C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483869</xdr:colOff>
      <xdr:row>29</xdr:row>
      <xdr:rowOff>95250</xdr:rowOff>
    </xdr:from>
    <xdr:to>
      <xdr:col>14</xdr:col>
      <xdr:colOff>609599</xdr:colOff>
      <xdr:row>45</xdr:row>
      <xdr:rowOff>21907</xdr:rowOff>
    </xdr:to>
    <xdr:graphicFrame macro="">
      <xdr:nvGraphicFramePr>
        <xdr:cNvPr id="3" name="Chart 2">
          <a:extLst>
            <a:ext uri="{FF2B5EF4-FFF2-40B4-BE49-F238E27FC236}">
              <a16:creationId xmlns:a16="http://schemas.microsoft.com/office/drawing/2014/main" id="{E033867C-ABBB-433A-A946-B995333CD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569597</xdr:colOff>
      <xdr:row>14</xdr:row>
      <xdr:rowOff>54293</xdr:rowOff>
    </xdr:from>
    <xdr:to>
      <xdr:col>14</xdr:col>
      <xdr:colOff>608172</xdr:colOff>
      <xdr:row>29</xdr:row>
      <xdr:rowOff>53340</xdr:rowOff>
    </xdr:to>
    <xdr:graphicFrame macro="">
      <xdr:nvGraphicFramePr>
        <xdr:cNvPr id="4" name="Chart 3">
          <a:extLst>
            <a:ext uri="{FF2B5EF4-FFF2-40B4-BE49-F238E27FC236}">
              <a16:creationId xmlns:a16="http://schemas.microsoft.com/office/drawing/2014/main" id="{4FBA3367-7616-4904-B1A0-88FE78845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14</xdr:row>
      <xdr:rowOff>55246</xdr:rowOff>
    </xdr:from>
    <xdr:to>
      <xdr:col>2</xdr:col>
      <xdr:colOff>440055</xdr:colOff>
      <xdr:row>19</xdr:row>
      <xdr:rowOff>57151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33304B69-D1F9-4C3E-8C39-08E134063F6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1144906"/>
              <a:ext cx="1655444"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34290</xdr:rowOff>
    </xdr:from>
    <xdr:to>
      <xdr:col>2</xdr:col>
      <xdr:colOff>438150</xdr:colOff>
      <xdr:row>35</xdr:row>
      <xdr:rowOff>135255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9A5B976-A205-4737-BE49-A63982B6B4A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91840"/>
              <a:ext cx="1653540" cy="1725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91440</xdr:rowOff>
    </xdr:from>
    <xdr:to>
      <xdr:col>2</xdr:col>
      <xdr:colOff>438149</xdr:colOff>
      <xdr:row>26</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364FCFD-B733-4C90-BEE8-17B69261AF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85975"/>
              <a:ext cx="1661159"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247651</xdr:colOff>
      <xdr:row>6</xdr:row>
      <xdr:rowOff>19049</xdr:rowOff>
    </xdr:from>
    <xdr:to>
      <xdr:col>3</xdr:col>
      <xdr:colOff>55627</xdr:colOff>
      <xdr:row>13</xdr:row>
      <xdr:rowOff>132968</xdr:rowOff>
    </xdr:to>
    <xdr:grpSp>
      <xdr:nvGrpSpPr>
        <xdr:cNvPr id="28" name="Group 27">
          <a:extLst>
            <a:ext uri="{FF2B5EF4-FFF2-40B4-BE49-F238E27FC236}">
              <a16:creationId xmlns:a16="http://schemas.microsoft.com/office/drawing/2014/main" id="{9BB970AE-C2E8-4359-8DCB-D9E9C0EFA5D9}"/>
            </a:ext>
          </a:extLst>
        </xdr:cNvPr>
        <xdr:cNvGrpSpPr/>
      </xdr:nvGrpSpPr>
      <xdr:grpSpPr>
        <a:xfrm>
          <a:off x="243841" y="1102359"/>
          <a:ext cx="1657096" cy="1373336"/>
          <a:chOff x="247651" y="1112519"/>
          <a:chExt cx="1640205" cy="1373505"/>
        </a:xfrm>
      </xdr:grpSpPr>
      <xdr:sp macro="" textlink="">
        <xdr:nvSpPr>
          <xdr:cNvPr id="8" name="Rectangle: Rounded Corners 7">
            <a:extLst>
              <a:ext uri="{FF2B5EF4-FFF2-40B4-BE49-F238E27FC236}">
                <a16:creationId xmlns:a16="http://schemas.microsoft.com/office/drawing/2014/main" id="{0736F452-DA43-4796-8611-5610876F5B2C}"/>
              </a:ext>
            </a:extLst>
          </xdr:cNvPr>
          <xdr:cNvSpPr/>
        </xdr:nvSpPr>
        <xdr:spPr>
          <a:xfrm>
            <a:off x="247651" y="1112519"/>
            <a:ext cx="1640205" cy="1373505"/>
          </a:xfrm>
          <a:prstGeom prst="roundRect">
            <a:avLst/>
          </a:prstGeom>
          <a:solidFill>
            <a:srgbClr val="F5F6FA"/>
          </a:solidFill>
          <a:ln w="9525">
            <a:solidFill>
              <a:srgbClr val="D9D9D9"/>
            </a:solidFill>
          </a:ln>
          <a:effectLst>
            <a:outerShdw blurRad="63500" dist="381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G3">
        <xdr:nvSpPr>
          <xdr:cNvPr id="12" name="TextBox 11">
            <a:extLst>
              <a:ext uri="{FF2B5EF4-FFF2-40B4-BE49-F238E27FC236}">
                <a16:creationId xmlns:a16="http://schemas.microsoft.com/office/drawing/2014/main" id="{37EB1A12-D2F3-4DA8-8F09-ABA72571752C}"/>
              </a:ext>
            </a:extLst>
          </xdr:cNvPr>
          <xdr:cNvSpPr txBox="1"/>
        </xdr:nvSpPr>
        <xdr:spPr>
          <a:xfrm>
            <a:off x="363855" y="1215390"/>
            <a:ext cx="139636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15ABB8-B602-4851-99AC-AA60E6C47BAE}" type="TxLink">
              <a:rPr lang="en-US" sz="2800" b="1" i="0" u="none" strike="noStrike" baseline="0">
                <a:solidFill>
                  <a:srgbClr val="2E4E7E"/>
                </a:solidFill>
                <a:latin typeface="Calibri"/>
                <a:ea typeface="Calibri"/>
                <a:cs typeface="Calibri"/>
              </a:rPr>
              <a:pPr algn="ctr"/>
              <a:t>1,000 </a:t>
            </a:fld>
            <a:endParaRPr lang="en-IN" sz="2800" b="1" baseline="0">
              <a:solidFill>
                <a:srgbClr val="2E4E7E"/>
              </a:solidFill>
            </a:endParaRPr>
          </a:p>
        </xdr:txBody>
      </xdr:sp>
      <xdr:sp macro="" textlink="">
        <xdr:nvSpPr>
          <xdr:cNvPr id="13" name="TextBox 12">
            <a:extLst>
              <a:ext uri="{FF2B5EF4-FFF2-40B4-BE49-F238E27FC236}">
                <a16:creationId xmlns:a16="http://schemas.microsoft.com/office/drawing/2014/main" id="{71A3F63C-CACC-402D-9F4E-0907D0D7CD49}"/>
              </a:ext>
            </a:extLst>
          </xdr:cNvPr>
          <xdr:cNvSpPr txBox="1"/>
        </xdr:nvSpPr>
        <xdr:spPr>
          <a:xfrm>
            <a:off x="287655" y="1741169"/>
            <a:ext cx="1556385" cy="4191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rgbClr val="666666"/>
                </a:solidFill>
              </a:rPr>
              <a:t>Total Customers</a:t>
            </a:r>
          </a:p>
        </xdr:txBody>
      </xdr:sp>
    </xdr:grpSp>
    <xdr:clientData/>
  </xdr:twoCellAnchor>
  <xdr:twoCellAnchor>
    <xdr:from>
      <xdr:col>3</xdr:col>
      <xdr:colOff>262889</xdr:colOff>
      <xdr:row>6</xdr:row>
      <xdr:rowOff>19048</xdr:rowOff>
    </xdr:from>
    <xdr:to>
      <xdr:col>6</xdr:col>
      <xdr:colOff>70865</xdr:colOff>
      <xdr:row>13</xdr:row>
      <xdr:rowOff>132967</xdr:rowOff>
    </xdr:to>
    <xdr:grpSp>
      <xdr:nvGrpSpPr>
        <xdr:cNvPr id="29" name="Group 28">
          <a:extLst>
            <a:ext uri="{FF2B5EF4-FFF2-40B4-BE49-F238E27FC236}">
              <a16:creationId xmlns:a16="http://schemas.microsoft.com/office/drawing/2014/main" id="{F264F01C-D352-46C7-AE24-8A9024D7545B}"/>
            </a:ext>
          </a:extLst>
        </xdr:cNvPr>
        <xdr:cNvGrpSpPr/>
      </xdr:nvGrpSpPr>
      <xdr:grpSpPr>
        <a:xfrm>
          <a:off x="2102484" y="1102358"/>
          <a:ext cx="1649476" cy="1373336"/>
          <a:chOff x="2091690" y="1114423"/>
          <a:chExt cx="1649730" cy="1373505"/>
        </a:xfrm>
      </xdr:grpSpPr>
      <xdr:sp macro="" textlink="">
        <xdr:nvSpPr>
          <xdr:cNvPr id="14" name="Rectangle: Rounded Corners 13">
            <a:extLst>
              <a:ext uri="{FF2B5EF4-FFF2-40B4-BE49-F238E27FC236}">
                <a16:creationId xmlns:a16="http://schemas.microsoft.com/office/drawing/2014/main" id="{8C602AB7-E967-4928-9895-5B3C0777F0CA}"/>
              </a:ext>
            </a:extLst>
          </xdr:cNvPr>
          <xdr:cNvSpPr/>
        </xdr:nvSpPr>
        <xdr:spPr>
          <a:xfrm>
            <a:off x="2091690" y="1114423"/>
            <a:ext cx="1649730" cy="1373505"/>
          </a:xfrm>
          <a:prstGeom prst="roundRect">
            <a:avLst/>
          </a:prstGeom>
          <a:solidFill>
            <a:srgbClr val="F5F6FA"/>
          </a:solidFill>
          <a:ln w="9525">
            <a:solidFill>
              <a:srgbClr val="D9D9D9"/>
            </a:solidFill>
          </a:ln>
          <a:effectLst>
            <a:outerShdw blurRad="63500" dist="381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G5">
        <xdr:nvSpPr>
          <xdr:cNvPr id="15" name="TextBox 14">
            <a:extLst>
              <a:ext uri="{FF2B5EF4-FFF2-40B4-BE49-F238E27FC236}">
                <a16:creationId xmlns:a16="http://schemas.microsoft.com/office/drawing/2014/main" id="{4BBB0775-DDC6-427C-B54A-5E62543A42E6}"/>
              </a:ext>
            </a:extLst>
          </xdr:cNvPr>
          <xdr:cNvSpPr txBox="1"/>
        </xdr:nvSpPr>
        <xdr:spPr>
          <a:xfrm>
            <a:off x="2226946" y="1238250"/>
            <a:ext cx="1407794"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DB5C9D-4121-4B46-BCBB-0A869F4E7A73}" type="TxLink">
              <a:rPr lang="en-US" sz="2800" b="1" i="0" u="none" strike="noStrike">
                <a:solidFill>
                  <a:srgbClr val="2E4E7E"/>
                </a:solidFill>
                <a:latin typeface="Calibri"/>
                <a:ea typeface="Calibri"/>
                <a:cs typeface="Calibri"/>
              </a:rPr>
              <a:pPr algn="ctr"/>
              <a:t>48.1%</a:t>
            </a:fld>
            <a:endParaRPr lang="en-IN" sz="2800" b="1" baseline="0">
              <a:solidFill>
                <a:srgbClr val="2E4E7E"/>
              </a:solidFill>
            </a:endParaRPr>
          </a:p>
        </xdr:txBody>
      </xdr:sp>
      <xdr:sp macro="" textlink="">
        <xdr:nvSpPr>
          <xdr:cNvPr id="16" name="TextBox 15">
            <a:extLst>
              <a:ext uri="{FF2B5EF4-FFF2-40B4-BE49-F238E27FC236}">
                <a16:creationId xmlns:a16="http://schemas.microsoft.com/office/drawing/2014/main" id="{75491E89-7658-47C3-91BB-583A73264F79}"/>
              </a:ext>
            </a:extLst>
          </xdr:cNvPr>
          <xdr:cNvSpPr txBox="1"/>
        </xdr:nvSpPr>
        <xdr:spPr>
          <a:xfrm>
            <a:off x="2160270" y="1755985"/>
            <a:ext cx="1552574" cy="4271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rgbClr val="6B6B6B"/>
                </a:solidFill>
              </a:rPr>
              <a:t>Purchase Rate</a:t>
            </a:r>
          </a:p>
        </xdr:txBody>
      </xdr:sp>
    </xdr:grpSp>
    <xdr:clientData/>
  </xdr:twoCellAnchor>
  <xdr:twoCellAnchor>
    <xdr:from>
      <xdr:col>6</xdr:col>
      <xdr:colOff>285749</xdr:colOff>
      <xdr:row>6</xdr:row>
      <xdr:rowOff>22858</xdr:rowOff>
    </xdr:from>
    <xdr:to>
      <xdr:col>9</xdr:col>
      <xdr:colOff>93725</xdr:colOff>
      <xdr:row>13</xdr:row>
      <xdr:rowOff>136777</xdr:rowOff>
    </xdr:to>
    <xdr:grpSp>
      <xdr:nvGrpSpPr>
        <xdr:cNvPr id="30" name="Group 29">
          <a:extLst>
            <a:ext uri="{FF2B5EF4-FFF2-40B4-BE49-F238E27FC236}">
              <a16:creationId xmlns:a16="http://schemas.microsoft.com/office/drawing/2014/main" id="{BB88CA42-CC87-445A-A396-F542D601905D}"/>
            </a:ext>
          </a:extLst>
        </xdr:cNvPr>
        <xdr:cNvGrpSpPr/>
      </xdr:nvGrpSpPr>
      <xdr:grpSpPr>
        <a:xfrm>
          <a:off x="3972559" y="1098548"/>
          <a:ext cx="1649476" cy="1373336"/>
          <a:chOff x="3950969" y="1114423"/>
          <a:chExt cx="1649730" cy="1373505"/>
        </a:xfrm>
      </xdr:grpSpPr>
      <xdr:sp macro="" textlink="">
        <xdr:nvSpPr>
          <xdr:cNvPr id="18" name="Rectangle: Rounded Corners 17">
            <a:extLst>
              <a:ext uri="{FF2B5EF4-FFF2-40B4-BE49-F238E27FC236}">
                <a16:creationId xmlns:a16="http://schemas.microsoft.com/office/drawing/2014/main" id="{2976F75E-24A6-41A4-91CE-BD35A424EA81}"/>
              </a:ext>
            </a:extLst>
          </xdr:cNvPr>
          <xdr:cNvSpPr/>
        </xdr:nvSpPr>
        <xdr:spPr>
          <a:xfrm>
            <a:off x="3950969" y="1114423"/>
            <a:ext cx="1649730" cy="1373505"/>
          </a:xfrm>
          <a:prstGeom prst="roundRect">
            <a:avLst/>
          </a:prstGeom>
          <a:solidFill>
            <a:srgbClr val="F5F6FA"/>
          </a:solidFill>
          <a:ln w="9525">
            <a:solidFill>
              <a:srgbClr val="D9D9D9"/>
            </a:solidFill>
          </a:ln>
          <a:effectLst>
            <a:outerShdw blurRad="63500" dist="381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G6">
        <xdr:nvSpPr>
          <xdr:cNvPr id="19" name="TextBox 18">
            <a:extLst>
              <a:ext uri="{FF2B5EF4-FFF2-40B4-BE49-F238E27FC236}">
                <a16:creationId xmlns:a16="http://schemas.microsoft.com/office/drawing/2014/main" id="{A3A3BCCC-1253-4641-8113-6F4976FE6665}"/>
              </a:ext>
            </a:extLst>
          </xdr:cNvPr>
          <xdr:cNvSpPr txBox="1"/>
        </xdr:nvSpPr>
        <xdr:spPr>
          <a:xfrm>
            <a:off x="4086226" y="1227023"/>
            <a:ext cx="1396365" cy="4017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07DEB6-2256-4B88-B7CD-383A33D70A3A}" type="TxLink">
              <a:rPr lang="en-US" sz="2800" b="1" i="0" u="none" strike="noStrike">
                <a:solidFill>
                  <a:srgbClr val="2E4E7E"/>
                </a:solidFill>
                <a:latin typeface="Calibri"/>
                <a:ea typeface="Calibri"/>
                <a:cs typeface="Calibri"/>
              </a:rPr>
              <a:pPr algn="ctr"/>
              <a:t>$56,360</a:t>
            </a:fld>
            <a:endParaRPr lang="en-IN" sz="2800" b="1" baseline="0">
              <a:solidFill>
                <a:srgbClr val="2E4E7E"/>
              </a:solidFill>
            </a:endParaRPr>
          </a:p>
        </xdr:txBody>
      </xdr:sp>
      <xdr:sp macro="" textlink="">
        <xdr:nvSpPr>
          <xdr:cNvPr id="20" name="TextBox 19">
            <a:extLst>
              <a:ext uri="{FF2B5EF4-FFF2-40B4-BE49-F238E27FC236}">
                <a16:creationId xmlns:a16="http://schemas.microsoft.com/office/drawing/2014/main" id="{8CCFF500-0EFD-4044-9811-8464924E8402}"/>
              </a:ext>
            </a:extLst>
          </xdr:cNvPr>
          <xdr:cNvSpPr txBox="1"/>
        </xdr:nvSpPr>
        <xdr:spPr>
          <a:xfrm>
            <a:off x="3987165" y="1740607"/>
            <a:ext cx="1575435" cy="4463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rgbClr val="6B6B6B"/>
                </a:solidFill>
              </a:rPr>
              <a:t>Avg Income (All)</a:t>
            </a:r>
          </a:p>
        </xdr:txBody>
      </xdr:sp>
    </xdr:grpSp>
    <xdr:clientData/>
  </xdr:twoCellAnchor>
  <xdr:twoCellAnchor>
    <xdr:from>
      <xdr:col>9</xdr:col>
      <xdr:colOff>365759</xdr:colOff>
      <xdr:row>6</xdr:row>
      <xdr:rowOff>22851</xdr:rowOff>
    </xdr:from>
    <xdr:to>
      <xdr:col>12</xdr:col>
      <xdr:colOff>175259</xdr:colOff>
      <xdr:row>13</xdr:row>
      <xdr:rowOff>127626</xdr:rowOff>
    </xdr:to>
    <xdr:grpSp>
      <xdr:nvGrpSpPr>
        <xdr:cNvPr id="31" name="Group 30">
          <a:extLst>
            <a:ext uri="{FF2B5EF4-FFF2-40B4-BE49-F238E27FC236}">
              <a16:creationId xmlns:a16="http://schemas.microsoft.com/office/drawing/2014/main" id="{93E3D75A-8FC7-422E-A95B-00A396DF3D50}"/>
            </a:ext>
          </a:extLst>
        </xdr:cNvPr>
        <xdr:cNvGrpSpPr/>
      </xdr:nvGrpSpPr>
      <xdr:grpSpPr>
        <a:xfrm>
          <a:off x="5886449" y="1098541"/>
          <a:ext cx="1651000" cy="1371812"/>
          <a:chOff x="5852159" y="1114421"/>
          <a:chExt cx="1647825" cy="1371600"/>
        </a:xfrm>
      </xdr:grpSpPr>
      <xdr:sp macro="" textlink="">
        <xdr:nvSpPr>
          <xdr:cNvPr id="21" name="Rectangle: Rounded Corners 20">
            <a:extLst>
              <a:ext uri="{FF2B5EF4-FFF2-40B4-BE49-F238E27FC236}">
                <a16:creationId xmlns:a16="http://schemas.microsoft.com/office/drawing/2014/main" id="{E6405866-BD10-4E8F-8772-17101C5233C9}"/>
              </a:ext>
            </a:extLst>
          </xdr:cNvPr>
          <xdr:cNvSpPr/>
        </xdr:nvSpPr>
        <xdr:spPr>
          <a:xfrm>
            <a:off x="5852159" y="1114421"/>
            <a:ext cx="1647825" cy="1371600"/>
          </a:xfrm>
          <a:prstGeom prst="roundRect">
            <a:avLst/>
          </a:prstGeom>
          <a:solidFill>
            <a:srgbClr val="F5F6FA"/>
          </a:solidFill>
          <a:ln w="9525">
            <a:solidFill>
              <a:srgbClr val="D9D9D9"/>
            </a:solidFill>
          </a:ln>
          <a:effectLst>
            <a:outerShdw blurRad="63500" dist="38100" dir="2700000" algn="t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G4">
        <xdr:nvSpPr>
          <xdr:cNvPr id="22" name="TextBox 21">
            <a:extLst>
              <a:ext uri="{FF2B5EF4-FFF2-40B4-BE49-F238E27FC236}">
                <a16:creationId xmlns:a16="http://schemas.microsoft.com/office/drawing/2014/main" id="{4C3B03F0-7A0C-4964-8E0B-87D7D185D91E}"/>
              </a:ext>
            </a:extLst>
          </xdr:cNvPr>
          <xdr:cNvSpPr txBox="1"/>
        </xdr:nvSpPr>
        <xdr:spPr>
          <a:xfrm>
            <a:off x="5960744" y="1219201"/>
            <a:ext cx="1417321" cy="409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13DA79-28E9-49D8-A646-042CA27C446B}" type="TxLink">
              <a:rPr lang="en-US" sz="2800" b="1" i="0" u="none" strike="noStrike" baseline="0">
                <a:solidFill>
                  <a:srgbClr val="2E4E7E"/>
                </a:solidFill>
                <a:latin typeface="Calibri"/>
                <a:ea typeface="Calibri"/>
                <a:cs typeface="Calibri"/>
              </a:rPr>
              <a:pPr algn="ctr"/>
              <a:t>481</a:t>
            </a:fld>
            <a:endParaRPr lang="en-IN" sz="2800" b="1" baseline="0">
              <a:solidFill>
                <a:srgbClr val="2E4E7E"/>
              </a:solidFill>
            </a:endParaRPr>
          </a:p>
        </xdr:txBody>
      </xdr:sp>
      <xdr:sp macro="" textlink="">
        <xdr:nvSpPr>
          <xdr:cNvPr id="23" name="TextBox 22">
            <a:extLst>
              <a:ext uri="{FF2B5EF4-FFF2-40B4-BE49-F238E27FC236}">
                <a16:creationId xmlns:a16="http://schemas.microsoft.com/office/drawing/2014/main" id="{ECE51444-1339-4A05-BD7B-66E361246748}"/>
              </a:ext>
            </a:extLst>
          </xdr:cNvPr>
          <xdr:cNvSpPr txBox="1"/>
        </xdr:nvSpPr>
        <xdr:spPr>
          <a:xfrm>
            <a:off x="5886464" y="1743075"/>
            <a:ext cx="1569706"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rgbClr val="6B6B6B"/>
                </a:solidFill>
              </a:rPr>
              <a:t>Bikes Sold</a:t>
            </a:r>
          </a:p>
        </xdr:txBody>
      </xdr:sp>
    </xdr:grpSp>
    <xdr:clientData/>
  </xdr:twoCellAnchor>
  <xdr:twoCellAnchor>
    <xdr:from>
      <xdr:col>0</xdr:col>
      <xdr:colOff>0</xdr:colOff>
      <xdr:row>0</xdr:row>
      <xdr:rowOff>0</xdr:rowOff>
    </xdr:from>
    <xdr:to>
      <xdr:col>14</xdr:col>
      <xdr:colOff>594271</xdr:colOff>
      <xdr:row>5</xdr:row>
      <xdr:rowOff>88604</xdr:rowOff>
    </xdr:to>
    <xdr:sp macro="" textlink="">
      <xdr:nvSpPr>
        <xdr:cNvPr id="32" name="Rectangle 31">
          <a:extLst>
            <a:ext uri="{FF2B5EF4-FFF2-40B4-BE49-F238E27FC236}">
              <a16:creationId xmlns:a16="http://schemas.microsoft.com/office/drawing/2014/main" id="{2DF55B39-263E-4DAF-ABA8-7AC8516484C5}"/>
            </a:ext>
          </a:extLst>
        </xdr:cNvPr>
        <xdr:cNvSpPr/>
      </xdr:nvSpPr>
      <xdr:spPr>
        <a:xfrm>
          <a:off x="0" y="0"/>
          <a:ext cx="9122469" cy="9746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0</xdr:col>
      <xdr:colOff>0</xdr:colOff>
      <xdr:row>0</xdr:row>
      <xdr:rowOff>1</xdr:rowOff>
    </xdr:from>
    <xdr:to>
      <xdr:col>14</xdr:col>
      <xdr:colOff>609156</xdr:colOff>
      <xdr:row>5</xdr:row>
      <xdr:rowOff>169943</xdr:rowOff>
    </xdr:to>
    <xdr:sp macro="" textlink="">
      <xdr:nvSpPr>
        <xdr:cNvPr id="33" name="TextBox 32">
          <a:extLst>
            <a:ext uri="{FF2B5EF4-FFF2-40B4-BE49-F238E27FC236}">
              <a16:creationId xmlns:a16="http://schemas.microsoft.com/office/drawing/2014/main" id="{9427A65F-8C71-407F-9332-460A29D1815D}"/>
            </a:ext>
          </a:extLst>
        </xdr:cNvPr>
        <xdr:cNvSpPr txBox="1"/>
      </xdr:nvSpPr>
      <xdr:spPr>
        <a:xfrm>
          <a:off x="0" y="1"/>
          <a:ext cx="9137354" cy="1055989"/>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200" b="1">
              <a:solidFill>
                <a:schemeClr val="bg1"/>
              </a:solidFill>
            </a:rPr>
            <a:t>Bike Sales Dashboard (1000 Customers)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516255</xdr:colOff>
      <xdr:row>0</xdr:row>
      <xdr:rowOff>174307</xdr:rowOff>
    </xdr:from>
    <xdr:to>
      <xdr:col>16</xdr:col>
      <xdr:colOff>363855</xdr:colOff>
      <xdr:row>16</xdr:row>
      <xdr:rowOff>16192</xdr:rowOff>
    </xdr:to>
    <xdr:graphicFrame macro="">
      <xdr:nvGraphicFramePr>
        <xdr:cNvPr id="2" name="Chart 1">
          <a:extLst>
            <a:ext uri="{FF2B5EF4-FFF2-40B4-BE49-F238E27FC236}">
              <a16:creationId xmlns:a16="http://schemas.microsoft.com/office/drawing/2014/main" id="{18566BA0-FCE6-4255-B14B-9FDD6DF5B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608647</xdr:colOff>
      <xdr:row>18</xdr:row>
      <xdr:rowOff>174307</xdr:rowOff>
    </xdr:from>
    <xdr:to>
      <xdr:col>12</xdr:col>
      <xdr:colOff>296227</xdr:colOff>
      <xdr:row>34</xdr:row>
      <xdr:rowOff>20002</xdr:rowOff>
    </xdr:to>
    <xdr:graphicFrame macro="">
      <xdr:nvGraphicFramePr>
        <xdr:cNvPr id="3" name="Chart 2">
          <a:extLst>
            <a:ext uri="{FF2B5EF4-FFF2-40B4-BE49-F238E27FC236}">
              <a16:creationId xmlns:a16="http://schemas.microsoft.com/office/drawing/2014/main" id="{CF57F40D-05A0-476B-BCE1-C6781EED6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589597</xdr:colOff>
      <xdr:row>39</xdr:row>
      <xdr:rowOff>174307</xdr:rowOff>
    </xdr:from>
    <xdr:to>
      <xdr:col>11</xdr:col>
      <xdr:colOff>60007</xdr:colOff>
      <xdr:row>55</xdr:row>
      <xdr:rowOff>20002</xdr:rowOff>
    </xdr:to>
    <xdr:graphicFrame macro="">
      <xdr:nvGraphicFramePr>
        <xdr:cNvPr id="4" name="Chart 3">
          <a:extLst>
            <a:ext uri="{FF2B5EF4-FFF2-40B4-BE49-F238E27FC236}">
              <a16:creationId xmlns:a16="http://schemas.microsoft.com/office/drawing/2014/main" id="{67E98B85-199E-4E56-8297-28E775E41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an" refreshedDate="46234.716678009259" createdVersion="6" refreshedVersion="6" minRefreshableVersion="3" recordCount="1000" xr:uid="{3DE9B9F2-8DE1-48D0-BB7E-939502DDCB2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Age 55+"/>
        <s v="Adolescent 0-30"/>
        <s v="Middle Age" u="1"/>
        <s v="Adolescent" u="1"/>
        <s v="Old Age" u="1"/>
      </sharedItems>
    </cacheField>
    <cacheField name="Purchased Bike" numFmtId="0">
      <sharedItems count="2">
        <s v="No"/>
        <s v="Yes"/>
      </sharedItems>
    </cacheField>
  </cacheFields>
  <extLst>
    <ext xmlns:x14="http://schemas.microsoft.com/office/spreadsheetml/2009/9/main" uri="{725AE2AE-9491-48be-B2B4-4EB974FC3084}">
      <x14:pivotCacheDefinition pivotCacheId="9817393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0DFB97-7958-4887-A440-A75EC378468B}"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4"/>
        <item m="1" x="3"/>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7DAD04-A88D-45B9-899B-30141E2F1DE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890CDC-6F28-4DA4-BB14-6172570EC9D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221">
      <pivotArea outline="0" collapsedLevelsAreSubtotals="1" fieldPosition="0"/>
    </format>
    <format dxfId="220">
      <pivotArea dataOnly="0" labelOnly="1" fieldPosition="0">
        <references count="1">
          <reference field="13" count="0"/>
        </references>
      </pivotArea>
    </format>
    <format dxfId="219">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EE6C01-0E49-4316-AF82-D6B1D022F419}"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2:A123" firstHeaderRow="1" firstDataRow="1" firstDataCol="0"/>
  <pivotFields count="14">
    <pivotField dataField="1"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Count of ID" fld="0" subtotal="count" baseField="0" baseItem="69904212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99AF01-9BF0-4193-AE02-5FE30E705E04}"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0:D11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CAE19D4-3009-49FE-AA1A-C39B85952E16}" sourceName="Marital Status">
  <pivotTables>
    <pivotTable tabId="3" name="PivotTable1"/>
    <pivotTable tabId="3" name="PivotTable2"/>
    <pivotTable tabId="3" name="PivotTable3"/>
    <pivotTable tabId="3" name="PivotTable4"/>
    <pivotTable tabId="3" name="PivotTable5"/>
  </pivotTables>
  <data>
    <tabular pivotCacheId="98173937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E18120B-0D29-491D-8AAF-69B923D08D71}" sourceName="Education">
  <pivotTables>
    <pivotTable tabId="3" name="PivotTable1"/>
    <pivotTable tabId="3" name="PivotTable2"/>
    <pivotTable tabId="3" name="PivotTable3"/>
    <pivotTable tabId="3" name="PivotTable4"/>
    <pivotTable tabId="3" name="PivotTable5"/>
  </pivotTables>
  <data>
    <tabular pivotCacheId="98173937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83F965-62A1-42EB-B986-6317FC4F92A6}" sourceName="Region">
  <pivotTables>
    <pivotTable tabId="3" name="PivotTable1"/>
    <pivotTable tabId="3" name="PivotTable2"/>
    <pivotTable tabId="3" name="PivotTable3"/>
    <pivotTable tabId="3" name="PivotTable4"/>
    <pivotTable tabId="3" name="PivotTable5"/>
  </pivotTables>
  <data>
    <tabular pivotCacheId="98173937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1126D29-9F32-4395-9983-FA0DC8E38106}" cache="Slicer_Marital_Status" caption="Marital Status" style="SlicerStyleDark1" rowHeight="234950"/>
  <slicer name="Education" xr10:uid="{C6D7F074-648C-4436-B11C-91423BF0590F}" cache="Slicer_Education" caption="Education" style="SlicerStyleDark1" rowHeight="234950"/>
  <slicer name="Region" xr10:uid="{5D24E83F-6792-4BB7-BD53-A20DE4673308}" cache="Slicer_Region" caption="Region"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3.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B34B-45F3-4B2D-A977-D1EAF11D4B7C}">
  <dimension ref="A1:N1001"/>
  <sheetViews>
    <sheetView topLeftCell="A962" workbookViewId="0">
      <selection activeCell="M2" sqref="M2:M1001"/>
    </sheetView>
  </sheetViews>
  <sheetFormatPr defaultColWidth="11.88671875" defaultRowHeight="14.4" x14ac:dyDescent="0.3"/>
  <cols>
    <col min="1" max="1" width="6" bestFit="1" customWidth="1"/>
    <col min="2" max="2" width="15.109375" bestFit="1" customWidth="1"/>
    <col min="3" max="3" width="9.5546875" bestFit="1" customWidth="1"/>
    <col min="4" max="4" width="11" style="3" bestFit="1" customWidth="1"/>
    <col min="5" max="5" width="10.5546875" bestFit="1" customWidth="1"/>
    <col min="6" max="6" width="17.21875" bestFit="1" customWidth="1"/>
    <col min="7" max="7" width="13.77734375" bestFit="1" customWidth="1"/>
    <col min="8" max="8" width="14.5546875" bestFit="1" customWidth="1"/>
    <col min="9" max="9" width="6.77734375" bestFit="1" customWidth="1"/>
    <col min="10" max="10" width="19.6640625" bestFit="1" customWidth="1"/>
    <col min="11" max="11" width="13.5546875" bestFit="1" customWidth="1"/>
    <col min="12" max="12" width="6.5546875" bestFit="1" customWidth="1"/>
    <col min="13" max="13" width="16" bestFit="1" customWidth="1"/>
    <col min="14" max="14" width="16.3320312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 Age 55+",IF(L2&gt;=31,"Middle Age 31-54",IF(L2&lt;31,"Adolescent 0-30","Invalid")))</f>
        <v>Middle Age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 Age 55+",IF(L3&gt;=31,"Middle Age 31-54",IF(L3&lt;31,"Adolescent 0-30","Invalid")))</f>
        <v>Middle Age 31-54</v>
      </c>
      <c r="N3" t="s">
        <v>18</v>
      </c>
    </row>
    <row r="4" spans="1:14" x14ac:dyDescent="0.3">
      <c r="A4">
        <v>14177</v>
      </c>
      <c r="B4" t="s">
        <v>36</v>
      </c>
      <c r="C4" t="s">
        <v>38</v>
      </c>
      <c r="D4" s="3">
        <v>80000</v>
      </c>
      <c r="E4">
        <v>5</v>
      </c>
      <c r="F4" t="s">
        <v>19</v>
      </c>
      <c r="G4" t="s">
        <v>21</v>
      </c>
      <c r="H4" t="s">
        <v>18</v>
      </c>
      <c r="I4">
        <v>2</v>
      </c>
      <c r="J4" t="s">
        <v>22</v>
      </c>
      <c r="K4" t="s">
        <v>17</v>
      </c>
      <c r="L4">
        <v>60</v>
      </c>
      <c r="M4" t="str">
        <f t="shared" si="0"/>
        <v>Old Age 55+</v>
      </c>
      <c r="N4" t="s">
        <v>18</v>
      </c>
    </row>
    <row r="5" spans="1:14" x14ac:dyDescent="0.3">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Age 55+</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 31-54</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Age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 31-54</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Age 55+</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Age 55+</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Age 55+</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Age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Age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Age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Age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Age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Age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 Age 55+",IF(L67&gt;=31,"Middle Age 31-54",IF(L67&lt;31,"Adolescent 0-30","Invalid")))</f>
        <v>Old Age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Age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 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Age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 31-54</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 Age 55+</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Age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Age 55+</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Age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 Age 55+",IF(L131&gt;=31,"Middle Age 31-54",IF(L131&lt;31,"Adolescent 0-30","Invalid")))</f>
        <v>Middle Age 31-54</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Age 55+</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Age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 31-54</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Age 55+</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Age 55+</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Age 55+</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Age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Age 55+</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Middle Age 31-54</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 31-54</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Age 55+</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 Age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Age 55+</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 Age 55+</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 31-54</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 Age 55+</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 Age 55+",IF(L195&gt;=31,"Middle Age 31-54",IF(L195&lt;31,"Adolescent 0-30","Invalid")))</f>
        <v>Middle Age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Age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 Age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Age 55+</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Age 55+</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 Age 55+</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 Age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Age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Age 55+</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Age 55+</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 31-54</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 Age 55+</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Age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 Age 55+",IF(L259&gt;=31,"Middle Age 31-54",IF(L259&lt;31,"Adolescent 0-30","Invalid")))</f>
        <v>Middle Age 31-54</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 Age 55+</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Age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Age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Age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Age 55+</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Age 55+</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Age 55+</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Age 55+</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 Age 55+",IF(L323&gt;=31,"Middle Age 31-54",IF(L323&lt;31,"Adolescent 0-30","Invalid")))</f>
        <v>Middle Age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 Age 55+</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Age 55+</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Age 55+</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 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Age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Age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Age 55+</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Age 55+</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Age 55+</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 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Age 55+</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 Age 55+",IF(L387&gt;=31,"Middle Age 31-54",IF(L387&lt;31,"Adolescent 0-30","Invalid")))</f>
        <v>Middle Age 31-54</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Age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Age 55+</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Age 55+</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Age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Age 55+</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 Age 55+</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Age 55+</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 31-54</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Age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 Age 55+",IF(L451&gt;=31,"Middle Age 31-54",IF(L451&lt;31,"Adolescent 0-30","Invalid")))</f>
        <v>Middle Age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Age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Age 55+</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Age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Age 55+</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Age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Age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 Age 55+</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 Age 55+</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 Age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Age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 Age 55+",IF(L515&gt;=31,"Middle Age 31-54",IF(L515&lt;31,"Adolescent 0-30","Invalid")))</f>
        <v>Old Age 55+</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Age 55+</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 Age 55+</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Age 55+</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 Age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 Age 55+</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 Age 55+</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 Age 55+</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 31-54</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 Age 55+</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Age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 Age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Age 55+</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 Age 55+</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 31-54</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Age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 Age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 Age 55+",IF(L579&gt;=31,"Middle Age 31-54",IF(L579&lt;31,"Adolescent 0-30","Invalid")))</f>
        <v>Middle Age 31-54</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Age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 Age 55+</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 Age 55+</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 Age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 Age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Age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Age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Age 55+</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Age 55+</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Age 55+</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 31-54</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Age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Age 55+</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Age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Age 55+</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Age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Age 55+</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 Age 55+",IF(L643&gt;=31,"Middle Age 31-54",IF(L643&lt;31,"Adolescent 0-30","Invalid")))</f>
        <v>Old Age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Age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 Age 55+</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 Age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 Age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 Age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Age 55+</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 Age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Age 55+</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 Age 55+",IF(L707&gt;=31,"Middle Age 31-54",IF(L707&lt;31,"Adolescent 0-30","Invalid")))</f>
        <v>Old Age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 Age 55+</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 Age 55+</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 Age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Age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Age 55+</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Middle Age 31-54</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 Age 55+</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 Age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Age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Age 55+</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Age 55+</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 Age 55+</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Age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 Age 55+",IF(L771&gt;=31,"Middle Age 31-54",IF(L771&lt;31,"Adolescent 0-30","Invalid")))</f>
        <v>Middle Age 31-54</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 31-54</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Age 55+</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Middle Age 31-54</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Age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Age 55+</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Age 55+</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Age 55+</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Age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 Age 55+</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Age 55+</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Age 55+</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 Age 55+",IF(L835&gt;=31,"Middle Age 31-54",IF(L835&lt;31,"Adolescent 0-30","Invalid")))</f>
        <v>Middle Age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Age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 Age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Age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Age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Age 55+</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Middle Age 31-54</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 Age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Middle Age 31-54</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Age 55+</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Age 55+</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Age 55+</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Age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Age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Age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 Age 55+",IF(L899&gt;=31,"Middle Age 31-54",IF(L899&lt;31,"Adolescent 0-30","Invalid")))</f>
        <v>Adolescent 0-30</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 Age 55+</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Age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 Age 55+</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Age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 Age 55+</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 Age 55+</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 Age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Age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Age 55+</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Age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Age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 Age 55+",IF(L963&gt;=31,"Middle Age 31-54",IF(L963&lt;31,"Adolescent 0-30","Invalid")))</f>
        <v>Old Age 55+</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Middle Age 31-54</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Age 55+</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 Age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Age 55+</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 Age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Age 55+</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 Age 55+</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 Age 55+</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 Age 55+</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sheetData>
  <autoFilter ref="A1:N1001" xr:uid="{818EF7B9-138D-4AC2-8C04-C85F916353D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33258-7E47-4B49-B556-7727B1D06778}">
  <dimension ref="A1:O47"/>
  <sheetViews>
    <sheetView showGridLines="0" tabSelected="1" zoomScale="90" zoomScaleNormal="90" workbookViewId="0">
      <selection activeCell="O53" sqref="O53"/>
    </sheetView>
  </sheetViews>
  <sheetFormatPr defaultRowHeight="14.4" x14ac:dyDescent="0.3"/>
  <cols>
    <col min="1" max="16384" width="8.88671875" style="13"/>
  </cols>
  <sheetData>
    <row r="1" spans="1:15" ht="14.4" customHeight="1" x14ac:dyDescent="0.3">
      <c r="A1" s="14" t="str">
        <f>"Bike Sales Dashboard  ("&amp;'Pivot Table'!G3&amp;" Customers)"</f>
        <v>Bike Sales Dashboard  (1000 Customers)</v>
      </c>
      <c r="B1" s="14"/>
      <c r="C1" s="14"/>
      <c r="D1" s="14"/>
      <c r="E1" s="14"/>
      <c r="F1" s="14"/>
      <c r="G1" s="14"/>
      <c r="H1" s="14"/>
      <c r="I1" s="14"/>
      <c r="J1" s="14"/>
      <c r="K1" s="14"/>
      <c r="L1" s="14"/>
      <c r="M1" s="14"/>
      <c r="N1" s="14"/>
      <c r="O1" s="14"/>
    </row>
    <row r="2" spans="1:15" x14ac:dyDescent="0.3">
      <c r="A2" s="14"/>
      <c r="B2" s="14"/>
      <c r="C2" s="14"/>
      <c r="D2" s="14"/>
      <c r="E2" s="14"/>
      <c r="F2" s="14"/>
      <c r="G2" s="14"/>
      <c r="H2" s="14"/>
      <c r="I2" s="14"/>
      <c r="J2" s="14"/>
      <c r="K2" s="14"/>
      <c r="L2" s="14"/>
      <c r="M2" s="14"/>
      <c r="N2" s="14"/>
      <c r="O2" s="14"/>
    </row>
    <row r="3" spans="1:15" x14ac:dyDescent="0.3">
      <c r="A3" s="14"/>
      <c r="B3" s="14"/>
      <c r="C3" s="14"/>
      <c r="D3" s="14"/>
      <c r="E3" s="14"/>
      <c r="F3" s="14"/>
      <c r="G3" s="14"/>
      <c r="H3" s="14"/>
      <c r="I3" s="14"/>
      <c r="J3" s="14"/>
      <c r="K3" s="14"/>
      <c r="L3" s="14"/>
      <c r="M3" s="14"/>
      <c r="N3" s="14"/>
      <c r="O3" s="14"/>
    </row>
    <row r="4" spans="1:15" x14ac:dyDescent="0.3">
      <c r="A4" s="14"/>
      <c r="B4" s="14"/>
      <c r="C4" s="14"/>
      <c r="D4" s="14"/>
      <c r="E4" s="14"/>
      <c r="F4" s="14"/>
      <c r="G4" s="14"/>
      <c r="H4" s="14"/>
      <c r="I4" s="14"/>
      <c r="J4" s="14"/>
      <c r="K4" s="14"/>
      <c r="L4" s="14"/>
      <c r="M4" s="14"/>
      <c r="N4" s="14"/>
      <c r="O4" s="14"/>
    </row>
    <row r="5" spans="1:15" x14ac:dyDescent="0.3">
      <c r="A5" s="14"/>
      <c r="B5" s="14"/>
      <c r="C5" s="14"/>
      <c r="D5" s="14"/>
      <c r="E5" s="14"/>
      <c r="F5" s="14"/>
      <c r="G5" s="14"/>
      <c r="H5" s="14"/>
      <c r="I5" s="14"/>
      <c r="J5" s="14"/>
      <c r="K5" s="14"/>
      <c r="L5" s="14"/>
      <c r="M5" s="14"/>
      <c r="N5" s="14"/>
      <c r="O5" s="14"/>
    </row>
    <row r="6" spans="1:15" x14ac:dyDescent="0.3">
      <c r="A6" s="14"/>
      <c r="B6" s="14"/>
      <c r="C6" s="14"/>
      <c r="D6" s="14"/>
      <c r="E6" s="14"/>
      <c r="F6" s="14"/>
      <c r="G6" s="14"/>
      <c r="H6" s="14"/>
      <c r="I6" s="14"/>
      <c r="J6" s="14"/>
      <c r="K6" s="14"/>
      <c r="L6" s="14"/>
      <c r="M6" s="14"/>
      <c r="N6" s="14"/>
      <c r="O6" s="14"/>
    </row>
    <row r="47" spans="1:1" x14ac:dyDescent="0.3">
      <c r="A47" s="15" t="s">
        <v>55</v>
      </c>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6B513-15AA-4667-B989-F1637FB9A149}">
  <dimension ref="A3:G123"/>
  <sheetViews>
    <sheetView workbookViewId="0">
      <selection activeCell="G3" sqref="G3"/>
    </sheetView>
  </sheetViews>
  <sheetFormatPr defaultRowHeight="14.4" x14ac:dyDescent="0.3"/>
  <cols>
    <col min="1" max="1" width="10.5546875" bestFit="1" customWidth="1"/>
    <col min="2" max="2" width="15.77734375" bestFit="1" customWidth="1"/>
    <col min="3" max="3" width="4" bestFit="1" customWidth="1"/>
    <col min="4" max="4" width="11" bestFit="1" customWidth="1"/>
    <col min="5" max="5" width="9.88671875" bestFit="1" customWidth="1"/>
    <col min="6" max="6" width="17.88671875" bestFit="1" customWidth="1"/>
    <col min="7" max="7" width="11" bestFit="1" customWidth="1"/>
  </cols>
  <sheetData>
    <row r="3" spans="1:7" x14ac:dyDescent="0.3">
      <c r="A3" s="5" t="s">
        <v>43</v>
      </c>
      <c r="B3" s="5" t="s">
        <v>44</v>
      </c>
      <c r="F3" s="9" t="s">
        <v>48</v>
      </c>
      <c r="G3" s="12">
        <f>D27</f>
        <v>1000</v>
      </c>
    </row>
    <row r="4" spans="1:7" x14ac:dyDescent="0.3">
      <c r="A4" s="5" t="s">
        <v>41</v>
      </c>
      <c r="B4" s="7" t="s">
        <v>18</v>
      </c>
      <c r="C4" s="7" t="s">
        <v>15</v>
      </c>
      <c r="D4" s="7" t="s">
        <v>42</v>
      </c>
      <c r="F4" s="9" t="s">
        <v>49</v>
      </c>
      <c r="G4" s="9">
        <f>C27</f>
        <v>481</v>
      </c>
    </row>
    <row r="5" spans="1:7" x14ac:dyDescent="0.3">
      <c r="A5" s="6" t="s">
        <v>39</v>
      </c>
      <c r="B5" s="7">
        <v>53440</v>
      </c>
      <c r="C5" s="7">
        <v>55774.058577405856</v>
      </c>
      <c r="D5" s="7">
        <v>54580.777096114522</v>
      </c>
      <c r="F5" s="9" t="s">
        <v>50</v>
      </c>
      <c r="G5" s="10">
        <f>IFERROR(G4/G3,0)</f>
        <v>0.48099999999999998</v>
      </c>
    </row>
    <row r="6" spans="1:7" x14ac:dyDescent="0.3">
      <c r="A6" s="6" t="s">
        <v>38</v>
      </c>
      <c r="B6" s="7">
        <v>56208.178438661707</v>
      </c>
      <c r="C6" s="7">
        <v>60123.966942148763</v>
      </c>
      <c r="D6" s="7">
        <v>58062.62230919765</v>
      </c>
      <c r="F6" s="9" t="s">
        <v>51</v>
      </c>
      <c r="G6" s="11">
        <f>D7</f>
        <v>56360</v>
      </c>
    </row>
    <row r="7" spans="1:7" x14ac:dyDescent="0.3">
      <c r="A7" s="6" t="s">
        <v>42</v>
      </c>
      <c r="B7" s="7">
        <v>54874.759152215796</v>
      </c>
      <c r="C7" s="7">
        <v>57962.577962577961</v>
      </c>
      <c r="D7" s="7">
        <v>56360</v>
      </c>
      <c r="G7" s="8"/>
    </row>
    <row r="20" spans="1:4" x14ac:dyDescent="0.3">
      <c r="A20" s="5" t="s">
        <v>45</v>
      </c>
      <c r="B20" s="5" t="s">
        <v>44</v>
      </c>
    </row>
    <row r="21" spans="1:4" x14ac:dyDescent="0.3">
      <c r="A21" s="5" t="s">
        <v>41</v>
      </c>
      <c r="B21" t="s">
        <v>18</v>
      </c>
      <c r="C21" t="s">
        <v>15</v>
      </c>
      <c r="D21" t="s">
        <v>42</v>
      </c>
    </row>
    <row r="22" spans="1:4" x14ac:dyDescent="0.3">
      <c r="A22" s="6" t="s">
        <v>16</v>
      </c>
      <c r="B22" s="4">
        <v>166</v>
      </c>
      <c r="C22" s="4">
        <v>200</v>
      </c>
      <c r="D22" s="4">
        <v>366</v>
      </c>
    </row>
    <row r="23" spans="1:4" x14ac:dyDescent="0.3">
      <c r="A23" s="6" t="s">
        <v>26</v>
      </c>
      <c r="B23" s="4">
        <v>92</v>
      </c>
      <c r="C23" s="4">
        <v>77</v>
      </c>
      <c r="D23" s="4">
        <v>169</v>
      </c>
    </row>
    <row r="24" spans="1:4" x14ac:dyDescent="0.3">
      <c r="A24" s="6" t="s">
        <v>22</v>
      </c>
      <c r="B24" s="4">
        <v>67</v>
      </c>
      <c r="C24" s="4">
        <v>95</v>
      </c>
      <c r="D24" s="4">
        <v>162</v>
      </c>
    </row>
    <row r="25" spans="1:4" x14ac:dyDescent="0.3">
      <c r="A25" s="6" t="s">
        <v>23</v>
      </c>
      <c r="B25" s="4">
        <v>116</v>
      </c>
      <c r="C25" s="4">
        <v>76</v>
      </c>
      <c r="D25" s="4">
        <v>192</v>
      </c>
    </row>
    <row r="26" spans="1:4" x14ac:dyDescent="0.3">
      <c r="A26" s="6" t="s">
        <v>46</v>
      </c>
      <c r="B26" s="4">
        <v>78</v>
      </c>
      <c r="C26" s="4">
        <v>33</v>
      </c>
      <c r="D26" s="4">
        <v>111</v>
      </c>
    </row>
    <row r="27" spans="1:4" x14ac:dyDescent="0.3">
      <c r="A27" s="6" t="s">
        <v>42</v>
      </c>
      <c r="B27" s="4">
        <v>519</v>
      </c>
      <c r="C27" s="4">
        <v>481</v>
      </c>
      <c r="D27" s="4">
        <v>1000</v>
      </c>
    </row>
    <row r="41" spans="1:4" x14ac:dyDescent="0.3">
      <c r="A41" s="5" t="s">
        <v>45</v>
      </c>
      <c r="B41" s="5" t="s">
        <v>44</v>
      </c>
    </row>
    <row r="42" spans="1:4" x14ac:dyDescent="0.3">
      <c r="A42" s="5" t="s">
        <v>41</v>
      </c>
      <c r="B42" t="s">
        <v>18</v>
      </c>
      <c r="C42" t="s">
        <v>15</v>
      </c>
      <c r="D42" t="s">
        <v>42</v>
      </c>
    </row>
    <row r="43" spans="1:4" x14ac:dyDescent="0.3">
      <c r="A43" s="6" t="s">
        <v>52</v>
      </c>
      <c r="B43" s="4">
        <v>331</v>
      </c>
      <c r="C43" s="4">
        <v>388</v>
      </c>
      <c r="D43" s="4">
        <v>719</v>
      </c>
    </row>
    <row r="44" spans="1:4" x14ac:dyDescent="0.3">
      <c r="A44" s="6" t="s">
        <v>53</v>
      </c>
      <c r="B44" s="4">
        <v>117</v>
      </c>
      <c r="C44" s="4">
        <v>54</v>
      </c>
      <c r="D44" s="4">
        <v>171</v>
      </c>
    </row>
    <row r="45" spans="1:4" x14ac:dyDescent="0.3">
      <c r="A45" s="6" t="s">
        <v>54</v>
      </c>
      <c r="B45" s="4">
        <v>71</v>
      </c>
      <c r="C45" s="4">
        <v>39</v>
      </c>
      <c r="D45" s="4">
        <v>110</v>
      </c>
    </row>
    <row r="46" spans="1:4" x14ac:dyDescent="0.3">
      <c r="A46" s="6" t="s">
        <v>42</v>
      </c>
      <c r="B46" s="4">
        <v>519</v>
      </c>
      <c r="C46" s="4">
        <v>481</v>
      </c>
      <c r="D46" s="4">
        <v>1000</v>
      </c>
    </row>
    <row r="60" spans="1:4" x14ac:dyDescent="0.3">
      <c r="A60" s="5" t="s">
        <v>45</v>
      </c>
      <c r="B60" s="5" t="s">
        <v>44</v>
      </c>
    </row>
    <row r="61" spans="1:4" x14ac:dyDescent="0.3">
      <c r="A61" s="5" t="s">
        <v>41</v>
      </c>
      <c r="B61" t="s">
        <v>18</v>
      </c>
      <c r="C61" t="s">
        <v>15</v>
      </c>
      <c r="D61" t="s">
        <v>42</v>
      </c>
    </row>
    <row r="62" spans="1:4" x14ac:dyDescent="0.3">
      <c r="A62" s="6">
        <v>25</v>
      </c>
      <c r="B62" s="4">
        <v>2</v>
      </c>
      <c r="C62" s="4">
        <v>4</v>
      </c>
      <c r="D62" s="4">
        <v>6</v>
      </c>
    </row>
    <row r="63" spans="1:4" x14ac:dyDescent="0.3">
      <c r="A63" s="6">
        <v>26</v>
      </c>
      <c r="B63" s="4">
        <v>8</v>
      </c>
      <c r="C63" s="4">
        <v>8</v>
      </c>
      <c r="D63" s="4">
        <v>16</v>
      </c>
    </row>
    <row r="64" spans="1:4" x14ac:dyDescent="0.3">
      <c r="A64" s="6">
        <v>27</v>
      </c>
      <c r="B64" s="4">
        <v>15</v>
      </c>
      <c r="C64" s="4">
        <v>8</v>
      </c>
      <c r="D64" s="4">
        <v>23</v>
      </c>
    </row>
    <row r="65" spans="1:4" x14ac:dyDescent="0.3">
      <c r="A65" s="6">
        <v>28</v>
      </c>
      <c r="B65" s="4">
        <v>12</v>
      </c>
      <c r="C65" s="4">
        <v>10</v>
      </c>
      <c r="D65" s="4">
        <v>22</v>
      </c>
    </row>
    <row r="66" spans="1:4" x14ac:dyDescent="0.3">
      <c r="A66" s="6">
        <v>29</v>
      </c>
      <c r="B66" s="4">
        <v>11</v>
      </c>
      <c r="C66" s="4">
        <v>5</v>
      </c>
      <c r="D66" s="4">
        <v>16</v>
      </c>
    </row>
    <row r="67" spans="1:4" x14ac:dyDescent="0.3">
      <c r="A67" s="6">
        <v>30</v>
      </c>
      <c r="B67" s="4">
        <v>23</v>
      </c>
      <c r="C67" s="4">
        <v>4</v>
      </c>
      <c r="D67" s="4">
        <v>27</v>
      </c>
    </row>
    <row r="68" spans="1:4" x14ac:dyDescent="0.3">
      <c r="A68" s="6">
        <v>31</v>
      </c>
      <c r="B68" s="4">
        <v>17</v>
      </c>
      <c r="C68" s="4">
        <v>8</v>
      </c>
      <c r="D68" s="4">
        <v>25</v>
      </c>
    </row>
    <row r="69" spans="1:4" x14ac:dyDescent="0.3">
      <c r="A69" s="6">
        <v>32</v>
      </c>
      <c r="B69" s="4">
        <v>19</v>
      </c>
      <c r="C69" s="4">
        <v>14</v>
      </c>
      <c r="D69" s="4">
        <v>33</v>
      </c>
    </row>
    <row r="70" spans="1:4" x14ac:dyDescent="0.3">
      <c r="A70" s="6">
        <v>33</v>
      </c>
      <c r="B70" s="4">
        <v>8</v>
      </c>
      <c r="C70" s="4">
        <v>13</v>
      </c>
      <c r="D70" s="4">
        <v>21</v>
      </c>
    </row>
    <row r="71" spans="1:4" x14ac:dyDescent="0.3">
      <c r="A71" s="6">
        <v>34</v>
      </c>
      <c r="B71" s="4">
        <v>12</v>
      </c>
      <c r="C71" s="4">
        <v>19</v>
      </c>
      <c r="D71" s="4">
        <v>31</v>
      </c>
    </row>
    <row r="72" spans="1:4" x14ac:dyDescent="0.3">
      <c r="A72" s="6">
        <v>35</v>
      </c>
      <c r="B72" s="4">
        <v>14</v>
      </c>
      <c r="C72" s="4">
        <v>22</v>
      </c>
      <c r="D72" s="4">
        <v>36</v>
      </c>
    </row>
    <row r="73" spans="1:4" x14ac:dyDescent="0.3">
      <c r="A73" s="6">
        <v>36</v>
      </c>
      <c r="B73" s="4">
        <v>7</v>
      </c>
      <c r="C73" s="4">
        <v>30</v>
      </c>
      <c r="D73" s="4">
        <v>37</v>
      </c>
    </row>
    <row r="74" spans="1:4" x14ac:dyDescent="0.3">
      <c r="A74" s="6">
        <v>37</v>
      </c>
      <c r="B74" s="4">
        <v>4</v>
      </c>
      <c r="C74" s="4">
        <v>28</v>
      </c>
      <c r="D74" s="4">
        <v>32</v>
      </c>
    </row>
    <row r="75" spans="1:4" x14ac:dyDescent="0.3">
      <c r="A75" s="6">
        <v>38</v>
      </c>
      <c r="B75" s="4">
        <v>8</v>
      </c>
      <c r="C75" s="4">
        <v>29</v>
      </c>
      <c r="D75" s="4">
        <v>37</v>
      </c>
    </row>
    <row r="76" spans="1:4" x14ac:dyDescent="0.3">
      <c r="A76" s="6">
        <v>39</v>
      </c>
      <c r="B76" s="4">
        <v>10</v>
      </c>
      <c r="C76" s="4">
        <v>12</v>
      </c>
      <c r="D76" s="4">
        <v>22</v>
      </c>
    </row>
    <row r="77" spans="1:4" x14ac:dyDescent="0.3">
      <c r="A77" s="6">
        <v>40</v>
      </c>
      <c r="B77" s="4">
        <v>24</v>
      </c>
      <c r="C77" s="4">
        <v>18</v>
      </c>
      <c r="D77" s="4">
        <v>42</v>
      </c>
    </row>
    <row r="78" spans="1:4" x14ac:dyDescent="0.3">
      <c r="A78" s="6">
        <v>41</v>
      </c>
      <c r="B78" s="4">
        <v>13</v>
      </c>
      <c r="C78" s="4">
        <v>15</v>
      </c>
      <c r="D78" s="4">
        <v>28</v>
      </c>
    </row>
    <row r="79" spans="1:4" x14ac:dyDescent="0.3">
      <c r="A79" s="6">
        <v>42</v>
      </c>
      <c r="B79" s="4">
        <v>22</v>
      </c>
      <c r="C79" s="4">
        <v>12</v>
      </c>
      <c r="D79" s="4">
        <v>34</v>
      </c>
    </row>
    <row r="80" spans="1:4" x14ac:dyDescent="0.3">
      <c r="A80" s="6">
        <v>43</v>
      </c>
      <c r="B80" s="4">
        <v>17</v>
      </c>
      <c r="C80" s="4">
        <v>19</v>
      </c>
      <c r="D80" s="4">
        <v>36</v>
      </c>
    </row>
    <row r="81" spans="1:4" x14ac:dyDescent="0.3">
      <c r="A81" s="6">
        <v>44</v>
      </c>
      <c r="B81" s="4">
        <v>15</v>
      </c>
      <c r="C81" s="4">
        <v>12</v>
      </c>
      <c r="D81" s="4">
        <v>27</v>
      </c>
    </row>
    <row r="82" spans="1:4" x14ac:dyDescent="0.3">
      <c r="A82" s="6">
        <v>45</v>
      </c>
      <c r="B82" s="4">
        <v>18</v>
      </c>
      <c r="C82" s="4">
        <v>13</v>
      </c>
      <c r="D82" s="4">
        <v>31</v>
      </c>
    </row>
    <row r="83" spans="1:4" x14ac:dyDescent="0.3">
      <c r="A83" s="6">
        <v>46</v>
      </c>
      <c r="B83" s="4">
        <v>12</v>
      </c>
      <c r="C83" s="4">
        <v>15</v>
      </c>
      <c r="D83" s="4">
        <v>27</v>
      </c>
    </row>
    <row r="84" spans="1:4" x14ac:dyDescent="0.3">
      <c r="A84" s="6">
        <v>47</v>
      </c>
      <c r="B84" s="4">
        <v>19</v>
      </c>
      <c r="C84" s="4">
        <v>20</v>
      </c>
      <c r="D84" s="4">
        <v>39</v>
      </c>
    </row>
    <row r="85" spans="1:4" x14ac:dyDescent="0.3">
      <c r="A85" s="6">
        <v>48</v>
      </c>
      <c r="B85" s="4">
        <v>16</v>
      </c>
      <c r="C85" s="4">
        <v>13</v>
      </c>
      <c r="D85" s="4">
        <v>29</v>
      </c>
    </row>
    <row r="86" spans="1:4" x14ac:dyDescent="0.3">
      <c r="A86" s="6">
        <v>49</v>
      </c>
      <c r="B86" s="4">
        <v>15</v>
      </c>
      <c r="C86" s="4">
        <v>8</v>
      </c>
      <c r="D86" s="4">
        <v>23</v>
      </c>
    </row>
    <row r="87" spans="1:4" x14ac:dyDescent="0.3">
      <c r="A87" s="6">
        <v>50</v>
      </c>
      <c r="B87" s="4">
        <v>12</v>
      </c>
      <c r="C87" s="4">
        <v>12</v>
      </c>
      <c r="D87" s="4">
        <v>24</v>
      </c>
    </row>
    <row r="88" spans="1:4" x14ac:dyDescent="0.3">
      <c r="A88" s="6">
        <v>51</v>
      </c>
      <c r="B88" s="4">
        <v>10</v>
      </c>
      <c r="C88" s="4">
        <v>12</v>
      </c>
      <c r="D88" s="4">
        <v>22</v>
      </c>
    </row>
    <row r="89" spans="1:4" x14ac:dyDescent="0.3">
      <c r="A89" s="6">
        <v>52</v>
      </c>
      <c r="B89" s="4">
        <v>10</v>
      </c>
      <c r="C89" s="4">
        <v>15</v>
      </c>
      <c r="D89" s="4">
        <v>25</v>
      </c>
    </row>
    <row r="90" spans="1:4" x14ac:dyDescent="0.3">
      <c r="A90" s="6">
        <v>53</v>
      </c>
      <c r="B90" s="4">
        <v>11</v>
      </c>
      <c r="C90" s="4">
        <v>13</v>
      </c>
      <c r="D90" s="4">
        <v>24</v>
      </c>
    </row>
    <row r="91" spans="1:4" x14ac:dyDescent="0.3">
      <c r="A91" s="6">
        <v>54</v>
      </c>
      <c r="B91" s="4">
        <v>5</v>
      </c>
      <c r="C91" s="4">
        <v>11</v>
      </c>
      <c r="D91" s="4">
        <v>16</v>
      </c>
    </row>
    <row r="92" spans="1:4" x14ac:dyDescent="0.3">
      <c r="A92" s="6">
        <v>55</v>
      </c>
      <c r="B92" s="4">
        <v>13</v>
      </c>
      <c r="C92" s="4">
        <v>5</v>
      </c>
      <c r="D92" s="4">
        <v>18</v>
      </c>
    </row>
    <row r="93" spans="1:4" x14ac:dyDescent="0.3">
      <c r="A93" s="6">
        <v>56</v>
      </c>
      <c r="B93" s="4">
        <v>13</v>
      </c>
      <c r="C93" s="4">
        <v>3</v>
      </c>
      <c r="D93" s="4">
        <v>16</v>
      </c>
    </row>
    <row r="94" spans="1:4" x14ac:dyDescent="0.3">
      <c r="A94" s="6">
        <v>57</v>
      </c>
      <c r="B94" s="4">
        <v>4</v>
      </c>
      <c r="C94" s="4">
        <v>4</v>
      </c>
      <c r="D94" s="4">
        <v>8</v>
      </c>
    </row>
    <row r="95" spans="1:4" x14ac:dyDescent="0.3">
      <c r="A95" s="6">
        <v>58</v>
      </c>
      <c r="B95" s="4">
        <v>8</v>
      </c>
      <c r="C95" s="4">
        <v>4</v>
      </c>
      <c r="D95" s="4">
        <v>12</v>
      </c>
    </row>
    <row r="96" spans="1:4" x14ac:dyDescent="0.3">
      <c r="A96" s="6">
        <v>59</v>
      </c>
      <c r="B96" s="4">
        <v>14</v>
      </c>
      <c r="C96" s="4">
        <v>6</v>
      </c>
      <c r="D96" s="4">
        <v>20</v>
      </c>
    </row>
    <row r="97" spans="1:4" x14ac:dyDescent="0.3">
      <c r="A97" s="6">
        <v>60</v>
      </c>
      <c r="B97" s="4">
        <v>8</v>
      </c>
      <c r="C97" s="4">
        <v>7</v>
      </c>
      <c r="D97" s="4">
        <v>15</v>
      </c>
    </row>
    <row r="98" spans="1:4" x14ac:dyDescent="0.3">
      <c r="A98" s="6">
        <v>61</v>
      </c>
      <c r="B98" s="4">
        <v>5</v>
      </c>
      <c r="C98" s="4">
        <v>4</v>
      </c>
      <c r="D98" s="4">
        <v>9</v>
      </c>
    </row>
    <row r="99" spans="1:4" x14ac:dyDescent="0.3">
      <c r="A99" s="6">
        <v>62</v>
      </c>
      <c r="B99" s="4">
        <v>9</v>
      </c>
      <c r="C99" s="4">
        <v>4</v>
      </c>
      <c r="D99" s="4">
        <v>13</v>
      </c>
    </row>
    <row r="100" spans="1:4" x14ac:dyDescent="0.3">
      <c r="A100" s="6">
        <v>63</v>
      </c>
      <c r="B100" s="4">
        <v>7</v>
      </c>
      <c r="C100" s="4">
        <v>2</v>
      </c>
      <c r="D100" s="4">
        <v>9</v>
      </c>
    </row>
    <row r="101" spans="1:4" x14ac:dyDescent="0.3">
      <c r="A101" s="6">
        <v>64</v>
      </c>
      <c r="B101" s="4">
        <v>7</v>
      </c>
      <c r="C101" s="4">
        <v>3</v>
      </c>
      <c r="D101" s="4">
        <v>10</v>
      </c>
    </row>
    <row r="102" spans="1:4" x14ac:dyDescent="0.3">
      <c r="A102" s="6">
        <v>65</v>
      </c>
      <c r="B102" s="4">
        <v>6</v>
      </c>
      <c r="C102" s="4">
        <v>3</v>
      </c>
      <c r="D102" s="4">
        <v>9</v>
      </c>
    </row>
    <row r="103" spans="1:4" x14ac:dyDescent="0.3">
      <c r="A103" s="6">
        <v>66</v>
      </c>
      <c r="B103" s="4">
        <v>8</v>
      </c>
      <c r="C103" s="4">
        <v>6</v>
      </c>
      <c r="D103" s="4">
        <v>14</v>
      </c>
    </row>
    <row r="104" spans="1:4" x14ac:dyDescent="0.3">
      <c r="A104" s="6">
        <v>67</v>
      </c>
      <c r="B104" s="4">
        <v>8</v>
      </c>
      <c r="C104" s="4">
        <v>2</v>
      </c>
      <c r="D104" s="4">
        <v>10</v>
      </c>
    </row>
    <row r="105" spans="1:4" x14ac:dyDescent="0.3">
      <c r="A105" s="6">
        <v>68</v>
      </c>
      <c r="B105" s="4">
        <v>3</v>
      </c>
      <c r="C105" s="4"/>
      <c r="D105" s="4">
        <v>3</v>
      </c>
    </row>
    <row r="106" spans="1:4" x14ac:dyDescent="0.3">
      <c r="A106" s="6">
        <v>69</v>
      </c>
      <c r="B106" s="4">
        <v>8</v>
      </c>
      <c r="C106" s="4"/>
      <c r="D106" s="4">
        <v>8</v>
      </c>
    </row>
    <row r="107" spans="1:4" x14ac:dyDescent="0.3">
      <c r="A107" s="6">
        <v>70</v>
      </c>
      <c r="B107" s="4">
        <v>3</v>
      </c>
      <c r="C107" s="4">
        <v>1</v>
      </c>
      <c r="D107" s="4">
        <v>4</v>
      </c>
    </row>
    <row r="108" spans="1:4" x14ac:dyDescent="0.3">
      <c r="A108" s="6">
        <v>71</v>
      </c>
      <c r="B108" s="4">
        <v>1</v>
      </c>
      <c r="C108" s="4"/>
      <c r="D108" s="4">
        <v>1</v>
      </c>
    </row>
    <row r="109" spans="1:4" x14ac:dyDescent="0.3">
      <c r="A109" s="6">
        <v>72</v>
      </c>
      <c r="B109" s="4"/>
      <c r="C109" s="4">
        <v>1</v>
      </c>
      <c r="D109" s="4">
        <v>1</v>
      </c>
    </row>
    <row r="110" spans="1:4" x14ac:dyDescent="0.3">
      <c r="A110" s="6">
        <v>73</v>
      </c>
      <c r="B110" s="4">
        <v>2</v>
      </c>
      <c r="C110" s="4">
        <v>2</v>
      </c>
      <c r="D110" s="4">
        <v>4</v>
      </c>
    </row>
    <row r="111" spans="1:4" x14ac:dyDescent="0.3">
      <c r="A111" s="6">
        <v>74</v>
      </c>
      <c r="B111" s="4"/>
      <c r="C111" s="4">
        <v>1</v>
      </c>
      <c r="D111" s="4">
        <v>1</v>
      </c>
    </row>
    <row r="112" spans="1:4" x14ac:dyDescent="0.3">
      <c r="A112" s="6">
        <v>78</v>
      </c>
      <c r="B112" s="4">
        <v>1</v>
      </c>
      <c r="C112" s="4">
        <v>1</v>
      </c>
      <c r="D112" s="4">
        <v>2</v>
      </c>
    </row>
    <row r="113" spans="1:4" x14ac:dyDescent="0.3">
      <c r="A113" s="6">
        <v>80</v>
      </c>
      <c r="B113" s="4">
        <v>1</v>
      </c>
      <c r="C113" s="4"/>
      <c r="D113" s="4">
        <v>1</v>
      </c>
    </row>
    <row r="114" spans="1:4" x14ac:dyDescent="0.3">
      <c r="A114" s="6">
        <v>89</v>
      </c>
      <c r="B114" s="4">
        <v>1</v>
      </c>
      <c r="C114" s="4"/>
      <c r="D114" s="4">
        <v>1</v>
      </c>
    </row>
    <row r="115" spans="1:4" x14ac:dyDescent="0.3">
      <c r="A115" s="6" t="s">
        <v>42</v>
      </c>
      <c r="B115" s="4">
        <v>519</v>
      </c>
      <c r="C115" s="4">
        <v>481</v>
      </c>
      <c r="D115" s="4">
        <v>1000</v>
      </c>
    </row>
    <row r="122" spans="1:4" x14ac:dyDescent="0.3">
      <c r="A122" t="s">
        <v>47</v>
      </c>
    </row>
    <row r="123" spans="1:4" x14ac:dyDescent="0.3">
      <c r="A123" s="4">
        <v>1000</v>
      </c>
    </row>
  </sheetData>
  <pageMargins left="0.7" right="0.7" top="0.75" bottom="0.75" header="0.3" footer="0.3"/>
  <pageSetup orientation="portrait" r:id="rId6"/>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dc:creator>
  <cp:lastModifiedBy>ayaan</cp:lastModifiedBy>
  <dcterms:created xsi:type="dcterms:W3CDTF">2022-03-18T02:50:57Z</dcterms:created>
  <dcterms:modified xsi:type="dcterms:W3CDTF">2026-07-31T13:46:25Z</dcterms:modified>
</cp:coreProperties>
</file>